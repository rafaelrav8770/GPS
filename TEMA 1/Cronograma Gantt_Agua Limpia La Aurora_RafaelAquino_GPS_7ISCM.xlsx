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/>
  <mc:AlternateContent xmlns:mc="http://schemas.openxmlformats.org/markup-compatibility/2006">
    <mc:Choice Requires="x15">
      <x15ac:absPath xmlns:x15ac="http://schemas.microsoft.com/office/spreadsheetml/2010/11/ac" url="D:\tareas\2026 SEPTIMO SEMESTRE\GESTION DE PROYTECTOS DE SOFTWARE\TEMA1\"/>
    </mc:Choice>
  </mc:AlternateContent>
  <xr:revisionPtr revIDLastSave="0" documentId="13_ncr:1_{1A478EA6-D1E8-4EBF-AE01-6D54852003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" sheetId="1" r:id="rId1"/>
  </sheets>
  <calcPr calcId="191029"/>
</workbook>
</file>

<file path=xl/calcChain.xml><?xml version="1.0" encoding="utf-8"?>
<calcChain xmlns="http://schemas.openxmlformats.org/spreadsheetml/2006/main">
  <c r="F5" i="1" l="1"/>
  <c r="E6" i="1" s="1"/>
  <c r="F6" i="1" s="1"/>
  <c r="E7" i="1" s="1"/>
  <c r="F7" i="1" s="1"/>
  <c r="E8" i="1" s="1"/>
  <c r="F8" i="1" s="1"/>
  <c r="E9" i="1" s="1"/>
  <c r="F9" i="1" s="1"/>
  <c r="E10" i="1" s="1"/>
  <c r="F10" i="1" s="1"/>
  <c r="E11" i="1" s="1"/>
  <c r="F11" i="1" s="1"/>
  <c r="E12" i="1" s="1"/>
  <c r="F12" i="1" s="1"/>
  <c r="E13" i="1" s="1"/>
  <c r="F13" i="1" s="1"/>
</calcChain>
</file>

<file path=xl/sharedStrings.xml><?xml version="1.0" encoding="utf-8"?>
<sst xmlns="http://schemas.openxmlformats.org/spreadsheetml/2006/main" count="73" uniqueCount="40">
  <si>
    <t>Cronograma del proyecto: Sistema web de pedidos de pipas · Agua Limpia La Aurora</t>
  </si>
  <si>
    <t>Responsable: Rafael Aquino Villanueva · Gestión de Proyectos de Software · 7ISCM · Inicio: dom 11/10/2026 · Fin: dom 06/12/2026</t>
  </si>
  <si>
    <t>oct '26</t>
  </si>
  <si>
    <t>nov '26</t>
  </si>
  <si>
    <t>dic '26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</si>
  <si>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</si>
  <si>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</si>
  <si>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</si>
  <si>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</si>
  <si>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</si>
  <si>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</si>
  <si>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</si>
  <si>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</si>
  <si>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</si>
  <si>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#</t>
  </si>
  <si>
    <t>Nombre de tarea</t>
  </si>
  <si>
    <t>Fase</t>
  </si>
  <si>
    <t>Duración</t>
  </si>
  <si>
    <t>Comienzo</t>
  </si>
  <si>
    <t>Fin</t>
  </si>
  <si>
    <t>Predecesoras</t>
  </si>
  <si>
    <t>Recurso</t>
  </si>
  <si>
    <t>Inicio y planificación</t>
  </si>
  <si>
    <t>Planificación</t>
  </si>
  <si>
    <t>7 días</t>
  </si>
  <si>
    <t>Rafael Aquino</t>
  </si>
  <si>
    <t>Diseño: modelo de datos, casos de uso y wireframes</t>
  </si>
  <si>
    <t>Diseño</t>
  </si>
  <si>
    <t>Desarrollo: inicio de sesión y módulo de pedidos</t>
  </si>
  <si>
    <t>Desarrollo</t>
  </si>
  <si>
    <t>Desarrollo: agenda diaria y semanal; primera versión publicada</t>
  </si>
  <si>
    <t>Desarrollo: fiados y cobros</t>
  </si>
  <si>
    <t>Desarrollo: egresos y reportes de corte diario y mensual</t>
  </si>
  <si>
    <t>Desarrollo: recordatorios, PWA y keep-alive de Supabase</t>
  </si>
  <si>
    <t>Pruebas con los dueños y ajustes</t>
  </si>
  <si>
    <t>Pruebas</t>
  </si>
  <si>
    <t>Cierre: capacitación, informe final y documentación</t>
  </si>
  <si>
    <t>Cierre</t>
  </si>
  <si>
    <t>1 día</t>
  </si>
  <si>
    <t>Leyenda: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</si>
</sst>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80A]ddd\ dd/mm/yy"/>
    <numFmt numFmtId="166" formatCode="d"/>
  </numFmts>
  <fonts count="16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color rgb="FF1F4E79"/>
      <name val="Calibri"/>
    </font>
    <font>
      <b/>
      <sz val="11"/>
      <color rgb="FF2E75B6"/>
      <name val="Calibri"/>
    </font>
    <font>
      <b/>
      <sz val="11"/>
      <color rgb="FF548235"/>
      <name val="Calibri"/>
    </font>
    <font>
      <b/>
      <sz val="11"/>
      <color rgb="FFC55A11"/>
      <name val="Calibri"/>
    </font>
    <font>
      <b/>
      <sz val="11"/>
      <color rgb="FF7030A0"/>
      <name val="Calibri"/>
    </font>
    <font>
      <b/>
      <sz val="8"/>
      <color rgb="FFFFFFFF"/>
      <name val="Calibri"/>
    </font>
    <font>
      <b/>
      <sz val="8"/>
      <color rgb="FF1F4E79"/>
      <name val="Calibri"/>
    </font>
    <font>
      <b/>
      <sz val="9"/>
      <name val="Calibri"/>
    </font>
    <font>
      <sz val="8"/>
      <color rgb="FFFFFFFF"/>
      <name val="Calibri"/>
    </font>
    <font>
      <b/>
      <sz val="9"/>
      <color rgb="FF1F4E79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C55A11"/>
      </patternFill>
    </fill>
    <fill>
      <patternFill patternType="solid">
        <fgColor rgb="FF7030A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/>
      <top/>
      <bottom style="hair">
        <color rgb="FFE0E0E0"/>
      </bottom>
      <diagonal/>
    </border>
    <border>
      <left style="hair">
        <color rgb="FFE0E0E0"/>
      </left>
      <right/>
      <top/>
      <bottom style="hair">
        <color rgb="FFE0E0E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3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6" fontId="9" fillId="2" borderId="0" xfId="0" applyNumberFormat="1" applyFont="1" applyFill="1" applyAlignment="1">
      <alignment horizontal="center"/>
    </xf>
    <xf numFmtId="166" fontId="12" fillId="2" borderId="0" xfId="0" applyNumberFormat="1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4" fillId="0" borderId="0" xfId="0" applyFont="1"/>
    <xf numFmtId="0" fontId="3" fillId="2" borderId="0" xfId="0" applyFont="1" applyFill="1"/>
    <xf numFmtId="0" fontId="15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10" fillId="0" borderId="0" xfId="0" applyFont="1" applyAlignment="1">
      <alignment horizont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5">
    <dxf>
      <font>
        <color rgb="FF7030A0"/>
      </font>
      <fill>
        <patternFill patternType="solid">
          <fgColor rgb="FF7030A0"/>
          <bgColor rgb="FF7030A0"/>
        </patternFill>
      </fill>
    </dxf>
    <dxf>
      <font>
        <color rgb="FFC55A11"/>
      </font>
      <fill>
        <patternFill patternType="solid">
          <fgColor rgb="FFC55A11"/>
          <bgColor rgb="FFC55A11"/>
        </patternFill>
      </fill>
    </dxf>
    <dxf>
      <font>
        <color rgb="FF548235"/>
      </font>
      <fill>
        <patternFill patternType="solid">
          <fgColor rgb="FF548235"/>
          <bgColor rgb="FF548235"/>
        </patternFill>
      </fill>
    </dxf>
    <dxf>
      <font>
        <color rgb="FF2E75B6"/>
      </font>
      <fill>
        <patternFill patternType="solid">
          <fgColor rgb="FF2E75B6"/>
          <bgColor rgb="FF2E75B6"/>
        </patternFill>
      </fill>
    </dxf>
    <dxf>
      <font>
        <color rgb="FF1F4E79"/>
      </font>
      <fill>
        <patternFill patternType="solid">
          <fgColor rgb="FF1F4E79"/>
          <bgColor rgb="FF1F4E7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V20"/>
  <sheetViews>
    <sheetView tabSelected="1" zoomScale="67" zoomScaleNormal="70" workbookViewId="0">
      <pane xSplit="2" ySplit="4" topLeftCell="C5" activePane="bottomRight" state="frozen"/>
      <selection pane="topRight"/>
      <selection pane="bottomLeft"/>
      <selection pane="bottomRight" activeCell="G25" sqref="G25"/>
    </sheetView>
  </sheetViews>
  <sheetFormatPr baseColWidth="10" defaultColWidth="8.88671875" defaultRowHeight="14.4" x14ac:dyDescent="0.3"/>
  <cols>
    <col min="1" max="1" width="5" customWidth="1"/>
    <col min="2" max="2" width="52" customWidth="1"/>
    <col min="3" max="3" width="13" customWidth="1"/>
    <col min="4" max="4" width="10" customWidth="1"/>
    <col min="5" max="6" width="15" customWidth="1"/>
    <col min="7" max="7" width="13" customWidth="1"/>
    <col min="8" max="8" width="24" customWidth="1"/>
    <col min="9" max="9" width="13" hidden="1" customWidth="1"/>
    <col min="10" max="10" width="2" customWidth="1"/>
    <col min="11" max="74" width="2.5546875" customWidth="1"/>
  </cols>
  <sheetData>
    <row r="1" spans="1:74" ht="18" x14ac:dyDescent="0.35">
      <c r="A1" s="1" t="s">
        <v>0</v>
      </c>
    </row>
    <row r="2" spans="1:74" x14ac:dyDescent="0.3">
      <c r="A2" s="25" t="s">
        <v>1</v>
      </c>
      <c r="B2" s="24"/>
      <c r="C2" s="24"/>
      <c r="D2" s="24"/>
      <c r="E2" s="24"/>
      <c r="F2" s="24"/>
      <c r="G2" s="24"/>
      <c r="H2" s="24"/>
      <c r="K2" s="2" t="s">
        <v>2</v>
      </c>
      <c r="AF2" s="2" t="s">
        <v>3</v>
      </c>
      <c r="BJ2" s="2" t="s">
        <v>4</v>
      </c>
    </row>
    <row r="3" spans="1:74" x14ac:dyDescent="0.3">
      <c r="K3" s="23" t="s">
        <v>5</v>
      </c>
      <c r="L3" s="24"/>
      <c r="M3" s="24"/>
      <c r="N3" s="24"/>
      <c r="O3" s="24"/>
      <c r="P3" s="24"/>
      <c r="Q3" s="24"/>
      <c r="R3" s="23" t="s">
        <v>6</v>
      </c>
      <c r="S3" s="24"/>
      <c r="T3" s="24"/>
      <c r="U3" s="24"/>
      <c r="V3" s="24"/>
      <c r="W3" s="24"/>
      <c r="X3" s="24"/>
      <c r="Y3" s="23" t="s">
        <v>7</v>
      </c>
      <c r="Z3" s="24"/>
      <c r="AA3" s="24"/>
      <c r="AB3" s="24"/>
      <c r="AC3" s="24"/>
      <c r="AD3" s="24"/>
      <c r="AE3" s="24"/>
      <c r="AF3" s="23" t="s">
        <v>8</v>
      </c>
      <c r="AG3" s="24"/>
      <c r="AH3" s="24"/>
      <c r="AI3" s="24"/>
      <c r="AJ3" s="24"/>
      <c r="AK3" s="24"/>
      <c r="AL3" s="24"/>
      <c r="AM3" s="23" t="s">
        <v>9</v>
      </c>
      <c r="AN3" s="24"/>
      <c r="AO3" s="24"/>
      <c r="AP3" s="24"/>
      <c r="AQ3" s="24"/>
      <c r="AR3" s="24"/>
      <c r="AS3" s="24"/>
      <c r="AT3" s="23" t="s">
        <v>10</v>
      </c>
      <c r="AU3" s="24"/>
      <c r="AV3" s="24"/>
      <c r="AW3" s="24"/>
      <c r="AX3" s="24"/>
      <c r="AY3" s="24"/>
      <c r="AZ3" s="24"/>
      <c r="BA3" s="23" t="s">
        <v>11</v>
      </c>
      <c r="BB3" s="24"/>
      <c r="BC3" s="24"/>
      <c r="BD3" s="24"/>
      <c r="BE3" s="24"/>
      <c r="BF3" s="24"/>
      <c r="BG3" s="24"/>
      <c r="BH3" s="23" t="s">
        <v>12</v>
      </c>
      <c r="BI3" s="24"/>
      <c r="BJ3" s="24"/>
      <c r="BK3" s="24"/>
      <c r="BL3" s="24"/>
      <c r="BM3" s="24"/>
      <c r="BN3" s="24"/>
      <c r="BO3" s="23" t="s">
        <v>13</v>
      </c>
      <c r="BP3" s="24"/>
      <c r="BQ3" s="24"/>
      <c r="BR3" s="24"/>
      <c r="BS3" s="24"/>
      <c r="BT3" s="24"/>
      <c r="BU3" s="24"/>
    </row>
    <row r="4" spans="1:74" x14ac:dyDescent="0.3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K4" s="4">
        <v>46306</v>
      </c>
      <c r="L4" s="5">
        <v>46307</v>
      </c>
      <c r="M4" s="5">
        <v>46308</v>
      </c>
      <c r="N4" s="5">
        <v>46309</v>
      </c>
      <c r="O4" s="5">
        <v>46310</v>
      </c>
      <c r="P4" s="5">
        <v>46311</v>
      </c>
      <c r="Q4" s="5">
        <v>46312</v>
      </c>
      <c r="R4" s="4">
        <v>46313</v>
      </c>
      <c r="S4" s="5">
        <v>46314</v>
      </c>
      <c r="T4" s="5">
        <v>46315</v>
      </c>
      <c r="U4" s="5">
        <v>46316</v>
      </c>
      <c r="V4" s="5">
        <v>46317</v>
      </c>
      <c r="W4" s="5">
        <v>46318</v>
      </c>
      <c r="X4" s="5">
        <v>46319</v>
      </c>
      <c r="Y4" s="4">
        <v>46320</v>
      </c>
      <c r="Z4" s="5">
        <v>46321</v>
      </c>
      <c r="AA4" s="5">
        <v>46322</v>
      </c>
      <c r="AB4" s="5">
        <v>46323</v>
      </c>
      <c r="AC4" s="5">
        <v>46324</v>
      </c>
      <c r="AD4" s="5">
        <v>46325</v>
      </c>
      <c r="AE4" s="5">
        <v>46326</v>
      </c>
      <c r="AF4" s="4">
        <v>46327</v>
      </c>
      <c r="AG4" s="5">
        <v>46328</v>
      </c>
      <c r="AH4" s="5">
        <v>46329</v>
      </c>
      <c r="AI4" s="5">
        <v>46330</v>
      </c>
      <c r="AJ4" s="5">
        <v>46331</v>
      </c>
      <c r="AK4" s="5">
        <v>46332</v>
      </c>
      <c r="AL4" s="5">
        <v>46333</v>
      </c>
      <c r="AM4" s="4">
        <v>46334</v>
      </c>
      <c r="AN4" s="5">
        <v>46335</v>
      </c>
      <c r="AO4" s="5">
        <v>46336</v>
      </c>
      <c r="AP4" s="5">
        <v>46337</v>
      </c>
      <c r="AQ4" s="5">
        <v>46338</v>
      </c>
      <c r="AR4" s="5">
        <v>46339</v>
      </c>
      <c r="AS4" s="5">
        <v>46340</v>
      </c>
      <c r="AT4" s="4">
        <v>46341</v>
      </c>
      <c r="AU4" s="5">
        <v>46342</v>
      </c>
      <c r="AV4" s="5">
        <v>46343</v>
      </c>
      <c r="AW4" s="5">
        <v>46344</v>
      </c>
      <c r="AX4" s="5">
        <v>46345</v>
      </c>
      <c r="AY4" s="5">
        <v>46346</v>
      </c>
      <c r="AZ4" s="5">
        <v>46347</v>
      </c>
      <c r="BA4" s="4">
        <v>46348</v>
      </c>
      <c r="BB4" s="5">
        <v>46349</v>
      </c>
      <c r="BC4" s="5">
        <v>46350</v>
      </c>
      <c r="BD4" s="5">
        <v>46351</v>
      </c>
      <c r="BE4" s="5">
        <v>46352</v>
      </c>
      <c r="BF4" s="5">
        <v>46353</v>
      </c>
      <c r="BG4" s="5">
        <v>46354</v>
      </c>
      <c r="BH4" s="4">
        <v>46355</v>
      </c>
      <c r="BI4" s="5">
        <v>46356</v>
      </c>
      <c r="BJ4" s="5">
        <v>46357</v>
      </c>
      <c r="BK4" s="5">
        <v>46358</v>
      </c>
      <c r="BL4" s="5">
        <v>46359</v>
      </c>
      <c r="BM4" s="5">
        <v>46360</v>
      </c>
      <c r="BN4" s="5">
        <v>46361</v>
      </c>
      <c r="BO4" s="4">
        <v>46362</v>
      </c>
      <c r="BP4" s="5">
        <v>46363</v>
      </c>
      <c r="BQ4" s="5">
        <v>46364</v>
      </c>
      <c r="BR4" s="5">
        <v>46365</v>
      </c>
      <c r="BS4" s="5">
        <v>46366</v>
      </c>
      <c r="BT4" s="5">
        <v>46367</v>
      </c>
      <c r="BU4" s="5">
        <v>46368</v>
      </c>
      <c r="BV4" s="4">
        <v>46369</v>
      </c>
    </row>
    <row r="5" spans="1:74" ht="22.05" customHeight="1" x14ac:dyDescent="0.3">
      <c r="A5" s="6">
        <v>1</v>
      </c>
      <c r="B5" s="7" t="s">
        <v>22</v>
      </c>
      <c r="C5" s="8" t="s">
        <v>23</v>
      </c>
      <c r="D5" s="6" t="s">
        <v>24</v>
      </c>
      <c r="E5" s="9">
        <v>46306</v>
      </c>
      <c r="F5" s="9">
        <f t="shared" ref="F5:F13" si="0">E5+I5-1</f>
        <v>46312</v>
      </c>
      <c r="G5" s="6"/>
      <c r="H5" s="7" t="s">
        <v>25</v>
      </c>
      <c r="I5">
        <v>7</v>
      </c>
      <c r="K5" s="10"/>
      <c r="L5" s="11"/>
      <c r="M5" s="11"/>
      <c r="N5" s="11"/>
      <c r="O5" s="11"/>
      <c r="P5" s="11"/>
      <c r="Q5" s="11"/>
      <c r="R5" s="10" t="s">
        <v>25</v>
      </c>
      <c r="S5" s="11"/>
      <c r="T5" s="11"/>
      <c r="U5" s="11"/>
      <c r="V5" s="11"/>
      <c r="W5" s="11"/>
      <c r="X5" s="11"/>
      <c r="Y5" s="10"/>
      <c r="Z5" s="11"/>
      <c r="AA5" s="11"/>
      <c r="AB5" s="11"/>
      <c r="AC5" s="11"/>
      <c r="AD5" s="11"/>
      <c r="AE5" s="11"/>
      <c r="AF5" s="10"/>
      <c r="AG5" s="11"/>
      <c r="AH5" s="11"/>
      <c r="AI5" s="11"/>
      <c r="AJ5" s="11"/>
      <c r="AK5" s="11"/>
      <c r="AL5" s="11"/>
      <c r="AM5" s="10"/>
      <c r="AN5" s="11"/>
      <c r="AO5" s="11"/>
      <c r="AP5" s="11"/>
      <c r="AQ5" s="11"/>
      <c r="AR5" s="11"/>
      <c r="AS5" s="11"/>
      <c r="AT5" s="10"/>
      <c r="AU5" s="11"/>
      <c r="AV5" s="11"/>
      <c r="AW5" s="11"/>
      <c r="AX5" s="11"/>
      <c r="AY5" s="11"/>
      <c r="AZ5" s="11"/>
      <c r="BA5" s="10"/>
      <c r="BB5" s="11"/>
      <c r="BC5" s="11"/>
      <c r="BD5" s="11"/>
      <c r="BE5" s="11"/>
      <c r="BF5" s="11"/>
      <c r="BG5" s="11"/>
      <c r="BH5" s="10"/>
      <c r="BI5" s="11"/>
      <c r="BJ5" s="11"/>
      <c r="BK5" s="11"/>
      <c r="BL5" s="11"/>
      <c r="BM5" s="11"/>
      <c r="BN5" s="11"/>
      <c r="BO5" s="10"/>
      <c r="BP5" s="11"/>
      <c r="BQ5" s="11"/>
      <c r="BR5" s="11"/>
      <c r="BS5" s="11"/>
      <c r="BT5" s="11"/>
      <c r="BU5" s="11"/>
      <c r="BV5" s="10"/>
    </row>
    <row r="6" spans="1:74" ht="22.05" customHeight="1" x14ac:dyDescent="0.3">
      <c r="A6" s="6">
        <v>2</v>
      </c>
      <c r="B6" s="7" t="s">
        <v>26</v>
      </c>
      <c r="C6" s="12" t="s">
        <v>27</v>
      </c>
      <c r="D6" s="6" t="s">
        <v>24</v>
      </c>
      <c r="E6" s="9">
        <f t="shared" ref="E6:E13" si="1">F5+1</f>
        <v>46313</v>
      </c>
      <c r="F6" s="9">
        <f t="shared" si="0"/>
        <v>46319</v>
      </c>
      <c r="G6" s="6">
        <v>1</v>
      </c>
      <c r="H6" s="7" t="s">
        <v>25</v>
      </c>
      <c r="I6">
        <v>7</v>
      </c>
      <c r="K6" s="10"/>
      <c r="L6" s="11"/>
      <c r="M6" s="11"/>
      <c r="N6" s="11"/>
      <c r="O6" s="11"/>
      <c r="P6" s="11"/>
      <c r="Q6" s="11"/>
      <c r="R6" s="10"/>
      <c r="S6" s="11"/>
      <c r="T6" s="11"/>
      <c r="U6" s="11"/>
      <c r="V6" s="11"/>
      <c r="W6" s="11"/>
      <c r="X6" s="11"/>
      <c r="Y6" s="10" t="s">
        <v>25</v>
      </c>
      <c r="Z6" s="11"/>
      <c r="AA6" s="11"/>
      <c r="AB6" s="11"/>
      <c r="AC6" s="11"/>
      <c r="AD6" s="11"/>
      <c r="AE6" s="11"/>
      <c r="AF6" s="10"/>
      <c r="AG6" s="11"/>
      <c r="AH6" s="11"/>
      <c r="AI6" s="11"/>
      <c r="AJ6" s="11"/>
      <c r="AK6" s="11"/>
      <c r="AL6" s="11"/>
      <c r="AM6" s="10"/>
      <c r="AN6" s="11"/>
      <c r="AO6" s="11"/>
      <c r="AP6" s="11"/>
      <c r="AQ6" s="11"/>
      <c r="AR6" s="11"/>
      <c r="AS6" s="11"/>
      <c r="AT6" s="10"/>
      <c r="AU6" s="11"/>
      <c r="AV6" s="11"/>
      <c r="AW6" s="11"/>
      <c r="AX6" s="11"/>
      <c r="AY6" s="11"/>
      <c r="AZ6" s="11"/>
      <c r="BA6" s="10"/>
      <c r="BB6" s="11"/>
      <c r="BC6" s="11"/>
      <c r="BD6" s="11"/>
      <c r="BE6" s="11"/>
      <c r="BF6" s="11"/>
      <c r="BG6" s="11"/>
      <c r="BH6" s="10"/>
      <c r="BI6" s="11"/>
      <c r="BJ6" s="11"/>
      <c r="BK6" s="11"/>
      <c r="BL6" s="11"/>
      <c r="BM6" s="11"/>
      <c r="BN6" s="11"/>
      <c r="BO6" s="10"/>
      <c r="BP6" s="11"/>
      <c r="BQ6" s="11"/>
      <c r="BR6" s="11"/>
      <c r="BS6" s="11"/>
      <c r="BT6" s="11"/>
      <c r="BU6" s="11"/>
      <c r="BV6" s="10"/>
    </row>
    <row r="7" spans="1:74" ht="22.05" customHeight="1" x14ac:dyDescent="0.3">
      <c r="A7" s="6">
        <v>3</v>
      </c>
      <c r="B7" s="7" t="s">
        <v>28</v>
      </c>
      <c r="C7" s="13" t="s">
        <v>29</v>
      </c>
      <c r="D7" s="6" t="s">
        <v>24</v>
      </c>
      <c r="E7" s="9">
        <f t="shared" si="1"/>
        <v>46320</v>
      </c>
      <c r="F7" s="9">
        <f t="shared" si="0"/>
        <v>46326</v>
      </c>
      <c r="G7" s="6">
        <v>2</v>
      </c>
      <c r="H7" s="7" t="s">
        <v>25</v>
      </c>
      <c r="I7">
        <v>7</v>
      </c>
      <c r="K7" s="10"/>
      <c r="L7" s="11"/>
      <c r="M7" s="11"/>
      <c r="N7" s="11"/>
      <c r="O7" s="11"/>
      <c r="P7" s="11"/>
      <c r="Q7" s="11"/>
      <c r="R7" s="10"/>
      <c r="S7" s="11"/>
      <c r="T7" s="11"/>
      <c r="U7" s="11"/>
      <c r="V7" s="11"/>
      <c r="W7" s="11"/>
      <c r="X7" s="11"/>
      <c r="Y7" s="10"/>
      <c r="Z7" s="11"/>
      <c r="AA7" s="11"/>
      <c r="AB7" s="11"/>
      <c r="AC7" s="11"/>
      <c r="AD7" s="11"/>
      <c r="AE7" s="11"/>
      <c r="AF7" s="10" t="s">
        <v>25</v>
      </c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1"/>
      <c r="AS7" s="11"/>
      <c r="AT7" s="10"/>
      <c r="AU7" s="11"/>
      <c r="AV7" s="11"/>
      <c r="AW7" s="11"/>
      <c r="AX7" s="11"/>
      <c r="AY7" s="11"/>
      <c r="AZ7" s="11"/>
      <c r="BA7" s="10"/>
      <c r="BB7" s="11"/>
      <c r="BC7" s="11"/>
      <c r="BD7" s="11"/>
      <c r="BE7" s="11"/>
      <c r="BF7" s="11"/>
      <c r="BG7" s="11"/>
      <c r="BH7" s="10"/>
      <c r="BI7" s="11"/>
      <c r="BJ7" s="11"/>
      <c r="BK7" s="11"/>
      <c r="BL7" s="11"/>
      <c r="BM7" s="11"/>
      <c r="BN7" s="11"/>
      <c r="BO7" s="10"/>
      <c r="BP7" s="11"/>
      <c r="BQ7" s="11"/>
      <c r="BR7" s="11"/>
      <c r="BS7" s="11"/>
      <c r="BT7" s="11"/>
      <c r="BU7" s="11"/>
      <c r="BV7" s="10"/>
    </row>
    <row r="8" spans="1:74" ht="22.05" customHeight="1" x14ac:dyDescent="0.3">
      <c r="A8" s="6">
        <v>4</v>
      </c>
      <c r="B8" s="7" t="s">
        <v>30</v>
      </c>
      <c r="C8" s="13" t="s">
        <v>29</v>
      </c>
      <c r="D8" s="6" t="s">
        <v>24</v>
      </c>
      <c r="E8" s="9">
        <f t="shared" si="1"/>
        <v>46327</v>
      </c>
      <c r="F8" s="9">
        <f t="shared" si="0"/>
        <v>46333</v>
      </c>
      <c r="G8" s="6">
        <v>3</v>
      </c>
      <c r="H8" s="7" t="s">
        <v>25</v>
      </c>
      <c r="I8">
        <v>7</v>
      </c>
      <c r="K8" s="10"/>
      <c r="L8" s="11"/>
      <c r="M8" s="11"/>
      <c r="N8" s="11"/>
      <c r="O8" s="11"/>
      <c r="P8" s="11"/>
      <c r="Q8" s="11"/>
      <c r="R8" s="10"/>
      <c r="S8" s="11"/>
      <c r="T8" s="11"/>
      <c r="U8" s="11"/>
      <c r="V8" s="11"/>
      <c r="W8" s="11"/>
      <c r="X8" s="11"/>
      <c r="Y8" s="10"/>
      <c r="Z8" s="11"/>
      <c r="AA8" s="11"/>
      <c r="AB8" s="11"/>
      <c r="AC8" s="11"/>
      <c r="AD8" s="11"/>
      <c r="AE8" s="11"/>
      <c r="AF8" s="10"/>
      <c r="AG8" s="11"/>
      <c r="AH8" s="11"/>
      <c r="AI8" s="11"/>
      <c r="AJ8" s="11"/>
      <c r="AK8" s="11"/>
      <c r="AL8" s="11"/>
      <c r="AM8" s="10" t="s">
        <v>25</v>
      </c>
      <c r="AN8" s="11"/>
      <c r="AO8" s="11"/>
      <c r="AP8" s="11"/>
      <c r="AQ8" s="11"/>
      <c r="AR8" s="11"/>
      <c r="AS8" s="11"/>
      <c r="AT8" s="10"/>
      <c r="AU8" s="11"/>
      <c r="AV8" s="11"/>
      <c r="AW8" s="11"/>
      <c r="AX8" s="11"/>
      <c r="AY8" s="11"/>
      <c r="AZ8" s="11"/>
      <c r="BA8" s="10"/>
      <c r="BB8" s="11"/>
      <c r="BC8" s="11"/>
      <c r="BD8" s="11"/>
      <c r="BE8" s="11"/>
      <c r="BF8" s="11"/>
      <c r="BG8" s="11"/>
      <c r="BH8" s="10"/>
      <c r="BI8" s="11"/>
      <c r="BJ8" s="11"/>
      <c r="BK8" s="11"/>
      <c r="BL8" s="11"/>
      <c r="BM8" s="11"/>
      <c r="BN8" s="11"/>
      <c r="BO8" s="10"/>
      <c r="BP8" s="11"/>
      <c r="BQ8" s="11"/>
      <c r="BR8" s="11"/>
      <c r="BS8" s="11"/>
      <c r="BT8" s="11"/>
      <c r="BU8" s="11"/>
      <c r="BV8" s="10"/>
    </row>
    <row r="9" spans="1:74" ht="22.05" customHeight="1" x14ac:dyDescent="0.3">
      <c r="A9" s="6">
        <v>5</v>
      </c>
      <c r="B9" s="7" t="s">
        <v>31</v>
      </c>
      <c r="C9" s="13" t="s">
        <v>29</v>
      </c>
      <c r="D9" s="6" t="s">
        <v>24</v>
      </c>
      <c r="E9" s="9">
        <f t="shared" si="1"/>
        <v>46334</v>
      </c>
      <c r="F9" s="9">
        <f t="shared" si="0"/>
        <v>46340</v>
      </c>
      <c r="G9" s="6">
        <v>4</v>
      </c>
      <c r="H9" s="7" t="s">
        <v>25</v>
      </c>
      <c r="I9">
        <v>7</v>
      </c>
      <c r="K9" s="10"/>
      <c r="L9" s="11"/>
      <c r="M9" s="11"/>
      <c r="N9" s="11"/>
      <c r="O9" s="11"/>
      <c r="P9" s="11"/>
      <c r="Q9" s="11"/>
      <c r="R9" s="10"/>
      <c r="S9" s="11"/>
      <c r="T9" s="11"/>
      <c r="U9" s="11"/>
      <c r="V9" s="11"/>
      <c r="W9" s="11"/>
      <c r="X9" s="11"/>
      <c r="Y9" s="10"/>
      <c r="Z9" s="11"/>
      <c r="AA9" s="11"/>
      <c r="AB9" s="11"/>
      <c r="AC9" s="11"/>
      <c r="AD9" s="11"/>
      <c r="AE9" s="11"/>
      <c r="AF9" s="10"/>
      <c r="AG9" s="11"/>
      <c r="AH9" s="11"/>
      <c r="AI9" s="11"/>
      <c r="AJ9" s="11"/>
      <c r="AK9" s="11"/>
      <c r="AL9" s="11"/>
      <c r="AM9" s="10"/>
      <c r="AN9" s="11"/>
      <c r="AO9" s="11"/>
      <c r="AP9" s="11"/>
      <c r="AQ9" s="11"/>
      <c r="AR9" s="11"/>
      <c r="AS9" s="11"/>
      <c r="AT9" s="10" t="s">
        <v>25</v>
      </c>
      <c r="AU9" s="11"/>
      <c r="AV9" s="11"/>
      <c r="AW9" s="11"/>
      <c r="AX9" s="11"/>
      <c r="AY9" s="11"/>
      <c r="AZ9" s="11"/>
      <c r="BA9" s="10"/>
      <c r="BB9" s="11"/>
      <c r="BC9" s="11"/>
      <c r="BD9" s="11"/>
      <c r="BE9" s="11"/>
      <c r="BF9" s="11"/>
      <c r="BG9" s="11"/>
      <c r="BH9" s="10"/>
      <c r="BI9" s="11"/>
      <c r="BJ9" s="11"/>
      <c r="BK9" s="11"/>
      <c r="BL9" s="11"/>
      <c r="BM9" s="11"/>
      <c r="BN9" s="11"/>
      <c r="BO9" s="10"/>
      <c r="BP9" s="11"/>
      <c r="BQ9" s="11"/>
      <c r="BR9" s="11"/>
      <c r="BS9" s="11"/>
      <c r="BT9" s="11"/>
      <c r="BU9" s="11"/>
      <c r="BV9" s="10"/>
    </row>
    <row r="10" spans="1:74" ht="22.05" customHeight="1" x14ac:dyDescent="0.3">
      <c r="A10" s="6">
        <v>6</v>
      </c>
      <c r="B10" s="7" t="s">
        <v>32</v>
      </c>
      <c r="C10" s="13" t="s">
        <v>29</v>
      </c>
      <c r="D10" s="6" t="s">
        <v>24</v>
      </c>
      <c r="E10" s="9">
        <f t="shared" si="1"/>
        <v>46341</v>
      </c>
      <c r="F10" s="9">
        <f t="shared" si="0"/>
        <v>46347</v>
      </c>
      <c r="G10" s="6">
        <v>5</v>
      </c>
      <c r="H10" s="7" t="s">
        <v>25</v>
      </c>
      <c r="I10">
        <v>7</v>
      </c>
      <c r="K10" s="10"/>
      <c r="L10" s="11"/>
      <c r="M10" s="11"/>
      <c r="N10" s="11"/>
      <c r="O10" s="11"/>
      <c r="P10" s="11"/>
      <c r="Q10" s="11"/>
      <c r="R10" s="10"/>
      <c r="S10" s="11"/>
      <c r="T10" s="11"/>
      <c r="U10" s="11"/>
      <c r="V10" s="11"/>
      <c r="W10" s="11"/>
      <c r="X10" s="11"/>
      <c r="Y10" s="10"/>
      <c r="Z10" s="11"/>
      <c r="AA10" s="11"/>
      <c r="AB10" s="11"/>
      <c r="AC10" s="11"/>
      <c r="AD10" s="11"/>
      <c r="AE10" s="11"/>
      <c r="AF10" s="10"/>
      <c r="AG10" s="11"/>
      <c r="AH10" s="11"/>
      <c r="AI10" s="11"/>
      <c r="AJ10" s="11"/>
      <c r="AK10" s="11"/>
      <c r="AL10" s="11"/>
      <c r="AM10" s="10"/>
      <c r="AN10" s="11"/>
      <c r="AO10" s="11"/>
      <c r="AP10" s="11"/>
      <c r="AQ10" s="11"/>
      <c r="AR10" s="11"/>
      <c r="AS10" s="11"/>
      <c r="AT10" s="10"/>
      <c r="AU10" s="11"/>
      <c r="AV10" s="11"/>
      <c r="AW10" s="11"/>
      <c r="AX10" s="11"/>
      <c r="AY10" s="11"/>
      <c r="AZ10" s="11"/>
      <c r="BA10" s="10" t="s">
        <v>25</v>
      </c>
      <c r="BB10" s="11"/>
      <c r="BC10" s="11"/>
      <c r="BD10" s="11"/>
      <c r="BE10" s="11"/>
      <c r="BF10" s="11"/>
      <c r="BG10" s="11"/>
      <c r="BH10" s="10"/>
      <c r="BI10" s="11"/>
      <c r="BJ10" s="11"/>
      <c r="BK10" s="11"/>
      <c r="BL10" s="11"/>
      <c r="BM10" s="11"/>
      <c r="BN10" s="11"/>
      <c r="BO10" s="10"/>
      <c r="BP10" s="11"/>
      <c r="BQ10" s="11"/>
      <c r="BR10" s="11"/>
      <c r="BS10" s="11"/>
      <c r="BT10" s="11"/>
      <c r="BU10" s="11"/>
      <c r="BV10" s="10"/>
    </row>
    <row r="11" spans="1:74" ht="22.05" customHeight="1" x14ac:dyDescent="0.3">
      <c r="A11" s="6">
        <v>7</v>
      </c>
      <c r="B11" s="7" t="s">
        <v>33</v>
      </c>
      <c r="C11" s="13" t="s">
        <v>29</v>
      </c>
      <c r="D11" s="6" t="s">
        <v>24</v>
      </c>
      <c r="E11" s="9">
        <f t="shared" si="1"/>
        <v>46348</v>
      </c>
      <c r="F11" s="9">
        <f t="shared" si="0"/>
        <v>46354</v>
      </c>
      <c r="G11" s="6">
        <v>6</v>
      </c>
      <c r="H11" s="7" t="s">
        <v>25</v>
      </c>
      <c r="I11">
        <v>7</v>
      </c>
      <c r="K11" s="10"/>
      <c r="L11" s="11"/>
      <c r="M11" s="11"/>
      <c r="N11" s="11"/>
      <c r="O11" s="11"/>
      <c r="P11" s="11"/>
      <c r="Q11" s="11"/>
      <c r="R11" s="10"/>
      <c r="S11" s="11"/>
      <c r="T11" s="11"/>
      <c r="U11" s="11"/>
      <c r="V11" s="11"/>
      <c r="W11" s="11"/>
      <c r="X11" s="11"/>
      <c r="Y11" s="10"/>
      <c r="Z11" s="11"/>
      <c r="AA11" s="11"/>
      <c r="AB11" s="11"/>
      <c r="AC11" s="11"/>
      <c r="AD11" s="11"/>
      <c r="AE11" s="11"/>
      <c r="AF11" s="10"/>
      <c r="AG11" s="11"/>
      <c r="AH11" s="11"/>
      <c r="AI11" s="11"/>
      <c r="AJ11" s="11"/>
      <c r="AK11" s="11"/>
      <c r="AL11" s="11"/>
      <c r="AM11" s="10"/>
      <c r="AN11" s="11"/>
      <c r="AO11" s="11"/>
      <c r="AP11" s="11"/>
      <c r="AQ11" s="11"/>
      <c r="AR11" s="11"/>
      <c r="AS11" s="11"/>
      <c r="AT11" s="10"/>
      <c r="AU11" s="11"/>
      <c r="AV11" s="11"/>
      <c r="AW11" s="11"/>
      <c r="AX11" s="11"/>
      <c r="AY11" s="11"/>
      <c r="AZ11" s="11"/>
      <c r="BA11" s="10"/>
      <c r="BB11" s="11"/>
      <c r="BC11" s="11"/>
      <c r="BD11" s="11"/>
      <c r="BE11" s="11"/>
      <c r="BF11" s="11"/>
      <c r="BG11" s="11"/>
      <c r="BH11" s="10" t="s">
        <v>25</v>
      </c>
      <c r="BI11" s="11"/>
      <c r="BJ11" s="11"/>
      <c r="BK11" s="11"/>
      <c r="BL11" s="11"/>
      <c r="BM11" s="11"/>
      <c r="BN11" s="11"/>
      <c r="BO11" s="10"/>
      <c r="BP11" s="11"/>
      <c r="BQ11" s="11"/>
      <c r="BR11" s="11"/>
      <c r="BS11" s="11"/>
      <c r="BT11" s="11"/>
      <c r="BU11" s="11"/>
      <c r="BV11" s="10"/>
    </row>
    <row r="12" spans="1:74" ht="22.05" customHeight="1" x14ac:dyDescent="0.3">
      <c r="A12" s="6">
        <v>8</v>
      </c>
      <c r="B12" s="7" t="s">
        <v>34</v>
      </c>
      <c r="C12" s="14" t="s">
        <v>35</v>
      </c>
      <c r="D12" s="6" t="s">
        <v>24</v>
      </c>
      <c r="E12" s="9">
        <f t="shared" si="1"/>
        <v>46355</v>
      </c>
      <c r="F12" s="9">
        <f t="shared" si="0"/>
        <v>46361</v>
      </c>
      <c r="G12" s="6">
        <v>7</v>
      </c>
      <c r="H12" s="7" t="s">
        <v>25</v>
      </c>
      <c r="I12">
        <v>7</v>
      </c>
      <c r="K12" s="10"/>
      <c r="L12" s="11"/>
      <c r="M12" s="11"/>
      <c r="N12" s="11"/>
      <c r="O12" s="11"/>
      <c r="P12" s="11"/>
      <c r="Q12" s="11"/>
      <c r="R12" s="10"/>
      <c r="S12" s="11"/>
      <c r="T12" s="11"/>
      <c r="U12" s="11"/>
      <c r="V12" s="11"/>
      <c r="W12" s="11"/>
      <c r="X12" s="11"/>
      <c r="Y12" s="10"/>
      <c r="Z12" s="11"/>
      <c r="AA12" s="11"/>
      <c r="AB12" s="11"/>
      <c r="AC12" s="11"/>
      <c r="AD12" s="11"/>
      <c r="AE12" s="11"/>
      <c r="AF12" s="10"/>
      <c r="AG12" s="11"/>
      <c r="AH12" s="11"/>
      <c r="AI12" s="11"/>
      <c r="AJ12" s="11"/>
      <c r="AK12" s="11"/>
      <c r="AL12" s="11"/>
      <c r="AM12" s="10"/>
      <c r="AN12" s="11"/>
      <c r="AO12" s="11"/>
      <c r="AP12" s="11"/>
      <c r="AQ12" s="11"/>
      <c r="AR12" s="11"/>
      <c r="AS12" s="11"/>
      <c r="AT12" s="10"/>
      <c r="AU12" s="11"/>
      <c r="AV12" s="11"/>
      <c r="AW12" s="11"/>
      <c r="AX12" s="11"/>
      <c r="AY12" s="11"/>
      <c r="AZ12" s="11"/>
      <c r="BA12" s="10"/>
      <c r="BB12" s="11"/>
      <c r="BC12" s="11"/>
      <c r="BD12" s="11"/>
      <c r="BE12" s="11"/>
      <c r="BF12" s="11"/>
      <c r="BG12" s="11"/>
      <c r="BH12" s="10"/>
      <c r="BI12" s="11"/>
      <c r="BJ12" s="11"/>
      <c r="BK12" s="11"/>
      <c r="BL12" s="11"/>
      <c r="BM12" s="11"/>
      <c r="BN12" s="11"/>
      <c r="BO12" s="10" t="s">
        <v>25</v>
      </c>
      <c r="BP12" s="11"/>
      <c r="BQ12" s="11"/>
      <c r="BR12" s="11"/>
      <c r="BS12" s="11"/>
      <c r="BT12" s="11"/>
      <c r="BU12" s="11"/>
      <c r="BV12" s="10"/>
    </row>
    <row r="13" spans="1:74" ht="22.05" customHeight="1" x14ac:dyDescent="0.3">
      <c r="A13" s="6">
        <v>9</v>
      </c>
      <c r="B13" s="7" t="s">
        <v>36</v>
      </c>
      <c r="C13" s="15" t="s">
        <v>37</v>
      </c>
      <c r="D13" s="6" t="s">
        <v>38</v>
      </c>
      <c r="E13" s="9">
        <f t="shared" si="1"/>
        <v>46362</v>
      </c>
      <c r="F13" s="9">
        <f t="shared" si="0"/>
        <v>46362</v>
      </c>
      <c r="G13" s="6">
        <v>8</v>
      </c>
      <c r="H13" s="7" t="s">
        <v>25</v>
      </c>
      <c r="I13">
        <v>1</v>
      </c>
      <c r="K13" s="10"/>
      <c r="L13" s="11"/>
      <c r="M13" s="11"/>
      <c r="N13" s="11"/>
      <c r="O13" s="11"/>
      <c r="P13" s="11"/>
      <c r="Q13" s="11"/>
      <c r="R13" s="10"/>
      <c r="S13" s="11"/>
      <c r="T13" s="11"/>
      <c r="U13" s="11"/>
      <c r="V13" s="11"/>
      <c r="W13" s="11"/>
      <c r="X13" s="11"/>
      <c r="Y13" s="10"/>
      <c r="Z13" s="11"/>
      <c r="AA13" s="11"/>
      <c r="AB13" s="11"/>
      <c r="AC13" s="11"/>
      <c r="AD13" s="11"/>
      <c r="AE13" s="11"/>
      <c r="AF13" s="10"/>
      <c r="AG13" s="11"/>
      <c r="AH13" s="11"/>
      <c r="AI13" s="11"/>
      <c r="AJ13" s="11"/>
      <c r="AK13" s="11"/>
      <c r="AL13" s="11"/>
      <c r="AM13" s="10"/>
      <c r="AN13" s="11"/>
      <c r="AO13" s="11"/>
      <c r="AP13" s="11"/>
      <c r="AQ13" s="11"/>
      <c r="AR13" s="11"/>
      <c r="AS13" s="11"/>
      <c r="AT13" s="10"/>
      <c r="AU13" s="11"/>
      <c r="AV13" s="11"/>
      <c r="AW13" s="11"/>
      <c r="AX13" s="11"/>
      <c r="AY13" s="11"/>
      <c r="AZ13" s="11"/>
      <c r="BA13" s="10"/>
      <c r="BB13" s="11"/>
      <c r="BC13" s="11"/>
      <c r="BD13" s="11"/>
      <c r="BE13" s="11"/>
      <c r="BF13" s="11"/>
      <c r="BG13" s="11"/>
      <c r="BH13" s="10"/>
      <c r="BI13" s="11"/>
      <c r="BJ13" s="11"/>
      <c r="BK13" s="11"/>
      <c r="BL13" s="11"/>
      <c r="BM13" s="11"/>
      <c r="BN13" s="11"/>
      <c r="BO13" s="10"/>
      <c r="BP13" s="11" t="s">
        <v>25</v>
      </c>
      <c r="BQ13" s="11"/>
      <c r="BR13" s="11"/>
      <c r="BS13" s="11"/>
      <c r="BT13" s="11"/>
      <c r="BU13" s="11"/>
      <c r="BV13" s="10"/>
    </row>
    <row r="15" spans="1:74" x14ac:dyDescent="0.3">
      <c r="B15" s="16" t="s">
        <v>39</v>
      </c>
      <c r="D15" s="16"/>
    </row>
    <row r="16" spans="1:74" x14ac:dyDescent="0.3">
      <c r="B16" s="17" t="s">
        <v>23</v>
      </c>
      <c r="D16" s="18"/>
    </row>
    <row r="17" spans="2:4" x14ac:dyDescent="0.3">
      <c r="B17" s="19" t="s">
        <v>27</v>
      </c>
      <c r="D17" s="18"/>
    </row>
    <row r="18" spans="2:4" x14ac:dyDescent="0.3">
      <c r="B18" s="20" t="s">
        <v>29</v>
      </c>
      <c r="D18" s="18"/>
    </row>
    <row r="19" spans="2:4" x14ac:dyDescent="0.3">
      <c r="B19" s="21" t="s">
        <v>35</v>
      </c>
    </row>
    <row r="20" spans="2:4" x14ac:dyDescent="0.3">
      <c r="B20" s="22" t="s">
        <v>37</v>
      </c>
    </row>
  </sheetData>
  <mergeCells count="10">
    <mergeCell ref="R3:X3"/>
    <mergeCell ref="BO3:BU3"/>
    <mergeCell ref="A2:H2"/>
    <mergeCell ref="K3:Q3"/>
    <mergeCell ref="BA3:BG3"/>
    <mergeCell ref="AT3:AZ3"/>
    <mergeCell ref="AF3:AL3"/>
    <mergeCell ref="BH3:BN3"/>
    <mergeCell ref="Y3:AE3"/>
    <mergeCell ref="AM3:AS3"/>
  </mergeCells>
  <conditionalFormatting sqref="K5:BV13">
    <cfRule type="expression" dxfId="4" priority="1" stopIfTrue="1">
      <formula>AND(K$4&gt;=$E5,K$4&lt;=$F5,$C5="Planificación")</formula>
    </cfRule>
    <cfRule type="expression" dxfId="3" priority="2" stopIfTrue="1">
      <formula>AND(K$4&gt;=$E5,K$4&lt;=$F5,$C5="Diseño")</formula>
    </cfRule>
    <cfRule type="expression" dxfId="2" priority="3" stopIfTrue="1">
      <formula>AND(K$4&gt;=$E5,K$4&lt;=$F5,$C5="Desarrollo")</formula>
    </cfRule>
    <cfRule type="expression" dxfId="1" priority="4" stopIfTrue="1">
      <formula>AND(K$4&gt;=$E5,K$4&lt;=$F5,$C5="Pruebas")</formula>
    </cfRule>
    <cfRule type="expression" dxfId="0" priority="5" stopIfTrue="1">
      <formula>AND(K$4&gt;=$E5,K$4&lt;=$F5,$C5="Cierre")</formula>
    </cfRule>
  </conditionalFormatting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aquino villanueva</cp:lastModifiedBy>
  <dcterms:created xsi:type="dcterms:W3CDTF">2026-10-22T02:19:15Z</dcterms:created>
  <dcterms:modified xsi:type="dcterms:W3CDTF">2026-10-22T02:58:56Z</dcterms:modified>
</cp:coreProperties>
</file>